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mai\Downloads\Test\"/>
    </mc:Choice>
  </mc:AlternateContent>
  <xr:revisionPtr revIDLastSave="0" documentId="13_ncr:1_{1604C5B2-5F8A-4268-8C50-136997DC8EC3}" xr6:coauthVersionLast="47" xr6:coauthVersionMax="47" xr10:uidLastSave="{00000000-0000-0000-0000-000000000000}"/>
  <bookViews>
    <workbookView xWindow="28695" yWindow="0" windowWidth="14610" windowHeight="15585" xr2:uid="{00000000-000D-0000-FFFF-FFFF00000000}"/>
  </bookViews>
  <sheets>
    <sheet name="Input Data" sheetId="1" r:id="rId1"/>
    <sheet name="Sheet3" sheetId="4" r:id="rId2"/>
    <sheet name="Control Sheet" sheetId="3" r:id="rId3"/>
    <sheet name="backend" sheetId="5" r:id="rId4"/>
    <sheet name="Sheet1" sheetId="2" r:id="rId5"/>
  </sheets>
  <definedNames>
    <definedName name="rng_kpiformula">'Control Sheet'!$A$2</definedName>
    <definedName name="rng_mapping">'Control Sheet'!$J$1</definedName>
  </definedNames>
  <calcPr calcId="181029"/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2" i="1"/>
</calcChain>
</file>

<file path=xl/sharedStrings.xml><?xml version="1.0" encoding="utf-8"?>
<sst xmlns="http://schemas.openxmlformats.org/spreadsheetml/2006/main" count="147" uniqueCount="81">
  <si>
    <t>Product Name</t>
  </si>
  <si>
    <t>Date of Product Launch</t>
  </si>
  <si>
    <t>Date of Product Conceptualization</t>
  </si>
  <si>
    <t>Cost of Product Development</t>
  </si>
  <si>
    <t>Number of Designs Created</t>
  </si>
  <si>
    <t>Number of Designs Approved</t>
  </si>
  <si>
    <t>Number of Defective Products</t>
  </si>
  <si>
    <t>Total Number of Products Produced</t>
  </si>
  <si>
    <t>Number of Products Sold</t>
  </si>
  <si>
    <t>Product Price</t>
  </si>
  <si>
    <t>Planned Production Quantity</t>
  </si>
  <si>
    <t>Actual Production Quantity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</si>
  <si>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</si>
  <si>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</si>
  <si>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</si>
  <si>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</si>
  <si>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</si>
  <si>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</si>
  <si>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</si>
  <si>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</si>
  <si>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</si>
  <si>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11</t>
  </si>
  <si>
    <t>Product 12</t>
  </si>
  <si>
    <t>Product 13</t>
  </si>
  <si>
    <t>Product 14</t>
  </si>
  <si>
    <t>Product 15</t>
  </si>
  <si>
    <t>Product 16</t>
  </si>
  <si>
    <t>Time to Market (TTM):</t>
  </si>
  <si>
    <t>Formula: TTM = Date of Product Launch – Date of Product Conceptualization</t>
  </si>
  <si>
    <t>Product Development Cost (PDC):</t>
  </si>
  <si>
    <t>Formula: PDC = Cost of Product Development</t>
  </si>
  <si>
    <t>Development Cycle Time (DCT):</t>
  </si>
  <si>
    <t>Formula: DCT = Date of Product Launch – Date of Product Conceptualization</t>
  </si>
  <si>
    <t>Design Efficiency:</t>
  </si>
  <si>
    <t>Formula: Design Efficiency = (Number of Designs Created / Number of Designs Approved) * 100</t>
  </si>
  <si>
    <t>Product Quality:</t>
  </si>
  <si>
    <t>Formula: Product Quality = (Number of Defective Products / Total Number of Products Produced) * 100</t>
  </si>
  <si>
    <t>Time to Market(In days)</t>
  </si>
  <si>
    <t>Product Development Cost</t>
  </si>
  <si>
    <t>Design Efficiency</t>
  </si>
  <si>
    <t>Product Quality</t>
  </si>
  <si>
    <t>Sales Revenue</t>
  </si>
  <si>
    <t>Master Production Schedule (MPS) Accuracy:</t>
  </si>
  <si>
    <t>Formula: MPS Accuracy = (1 - (|Planned Production - Actual Production| / Planned Production)) * 100</t>
  </si>
  <si>
    <t>Note: Planned Production refers to the production quantity planned in the MPS, while Actual Production refers to the actual quantity produced.</t>
  </si>
  <si>
    <t>Master Production Schedule (MPS) Bias:</t>
  </si>
  <si>
    <t>Formula: MPS Bias = (Σ(Planned Production - Actual Production)) / Number of Time Periods</t>
  </si>
  <si>
    <t>Master Production Schedule Accuracy</t>
  </si>
  <si>
    <t>Master Production Schedule Bias per day</t>
  </si>
  <si>
    <t>KPI</t>
  </si>
  <si>
    <t>Formula</t>
  </si>
  <si>
    <t>(Number of Designs Created / Number of Designs Approved) * 100</t>
  </si>
  <si>
    <t>product_name</t>
  </si>
  <si>
    <t>date_of_product_launch</t>
  </si>
  <si>
    <t>date_of_product_conceptualization</t>
  </si>
  <si>
    <t>cost_of_product_development</t>
  </si>
  <si>
    <t>number_of_designs_created</t>
  </si>
  <si>
    <t>number_of_designs_approved</t>
  </si>
  <si>
    <t>number_of_defective_products</t>
  </si>
  <si>
    <t>total_number_of_products_produced</t>
  </si>
  <si>
    <t>number_of_products_sold</t>
  </si>
  <si>
    <t>product_price</t>
  </si>
  <si>
    <t>planned_production_quantity</t>
  </si>
  <si>
    <t>actual_production_quantity</t>
  </si>
  <si>
    <t>product_development_cost</t>
  </si>
  <si>
    <t>time_to_market</t>
  </si>
  <si>
    <t>(Number of Defective Products / Total Number of Products Produced) * 100</t>
  </si>
  <si>
    <t>Number of Products Sold * Product Price</t>
  </si>
  <si>
    <t>original_name</t>
  </si>
  <si>
    <t>mapping_column</t>
  </si>
  <si>
    <t>(Number of Designs Approved / Number of Designs Created ) * 100</t>
  </si>
  <si>
    <t>kpi_name</t>
  </si>
  <si>
    <t>formatting</t>
  </si>
  <si>
    <t>Conditions</t>
  </si>
  <si>
    <t>Color</t>
  </si>
  <si>
    <t>=</t>
  </si>
  <si>
    <t>&lt;</t>
  </si>
  <si>
    <t>&gt;</t>
  </si>
  <si>
    <t>&lt;=</t>
  </si>
  <si>
    <t>&gt;=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</si>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</sst>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$&quot;#,##0"/>
  </numFmts>
  <fonts count="5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3FFFF"/>
        <bgColor indexed="64"/>
      </patternFill>
    </fill>
    <fill>
      <patternFill patternType="solid">
        <fgColor theme="2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3" fillId="2" borderId="1" xfId="0" applyFont="1" applyFill="1" applyBorder="1"/>
    <xf numFmtId="0" fontId="4" fillId="0" borderId="0" xfId="0" applyFont="1"/>
    <xf numFmtId="0" fontId="4" fillId="0" borderId="1" xfId="0" applyFont="1" applyBorder="1"/>
    <xf numFmtId="14" fontId="0" fillId="0" borderId="1" xfId="0" applyNumberFormat="1" applyBorder="1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8" borderId="1" xfId="0" applyFont="1" applyFill="1" applyBorder="1"/>
    <xf numFmtId="0" fontId="1" fillId="9" borderId="1" xfId="0" applyFont="1" applyFill="1" applyBorder="1"/>
    <xf numFmtId="164" fontId="1" fillId="9" borderId="1" xfId="0" applyNumberFormat="1" applyFont="1" applyFill="1" applyBorder="1"/>
    <xf numFmtId="165" fontId="1" fillId="9" borderId="1" xfId="0" applyNumberFormat="1" applyFont="1" applyFill="1" applyBorder="1"/>
    <xf numFmtId="3" fontId="1" fillId="9" borderId="1" xfId="0" applyNumberFormat="1" applyFont="1" applyFill="1" applyBorder="1"/>
    <xf numFmtId="0" fontId="0" fillId="9" borderId="1" xfId="0" applyFill="1" applyBorder="1"/>
    <xf numFmtId="165" fontId="0" fillId="9" borderId="1" xfId="0" applyNumberFormat="1" applyFill="1" applyBorder="1"/>
  </cellXfs>
  <cellStyles count="1">
    <cellStyle name="Normal" xfId="0" builtinId="0"/>
  </cellStyles>
  <dxfs count="62">
    <dxf>
      <fill>
        <patternFill>
          <bgColor indexed="9"/>
        </patternFill>
      </fill>
    </dxf>
    <dxf>
      <fill>
        <patternFill>
          <bgColor rgb="FFFDE49B"/>
        </patternFill>
      </fill>
    </dxf>
    <dxf>
      <fill>
        <patternFill>
          <bgColor rgb="FFFEF2CD"/>
        </patternFill>
      </fill>
    </dxf>
    <dxf>
      <fill>
        <patternFill>
          <bgColor rgb="FFF7B4AE"/>
        </patternFill>
      </fill>
    </dxf>
    <dxf>
      <fill>
        <patternFill>
          <bgColor rgb="FFB5E3E8"/>
        </patternFill>
      </fill>
    </dxf>
    <dxf>
      <fill>
        <patternFill>
          <bgColor rgb="FFD1F1DA"/>
        </patternFill>
      </fill>
    </dxf>
    <dxf>
      <fill>
        <patternFill>
          <bgColor indexed="9"/>
        </patternFill>
      </fill>
    </dxf>
    <dxf>
      <fill>
        <patternFill>
          <bgColor rgb="FFFDE49B"/>
        </patternFill>
      </fill>
    </dxf>
    <dxf>
      <fill>
        <patternFill>
          <bgColor rgb="FFFEF2CD"/>
        </patternFill>
      </fill>
    </dxf>
    <dxf>
      <fill>
        <patternFill>
          <bgColor rgb="FFF7B4AE"/>
        </patternFill>
      </fill>
    </dxf>
    <dxf>
      <fill>
        <patternFill>
          <bgColor rgb="FFB5E3E8"/>
        </patternFill>
      </fill>
    </dxf>
    <dxf>
      <fill>
        <patternFill>
          <bgColor rgb="FFD1F1DA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</dxfs>
  <tableStyles count="0" defaultTableStyle="TableStyleMedium2" defaultPivotStyle="PivotStyleLight16"/>
  <colors>
    <mruColors>
      <color rgb="FF93FF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heet3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18</xdr:row>
      <xdr:rowOff>195580</xdr:rowOff>
    </xdr:from>
    <xdr:to>
      <xdr:col>2</xdr:col>
      <xdr:colOff>767080</xdr:colOff>
      <xdr:row>23</xdr:row>
      <xdr:rowOff>10160</xdr:rowOff>
    </xdr:to>
    <xdr:sp macro="[0]!ABCD" textlink="">
      <xdr:nvSpPr>
        <xdr:cNvPr id="2" name="Rounded Rectangle 1">
          <a:extLst>
            <a:ext uri="{FF2B5EF4-FFF2-40B4-BE49-F238E27FC236}">
              <a16:creationId xmlns:a16="http://schemas.microsoft.com/office/drawing/2014/main" id="{F175629E-3513-9233-8B1B-BC09DEA0B0E3}"/>
            </a:ext>
          </a:extLst>
        </xdr:cNvPr>
        <xdr:cNvSpPr/>
      </xdr:nvSpPr>
      <xdr:spPr>
        <a:xfrm>
          <a:off x="1193800" y="3761740"/>
          <a:ext cx="2042160" cy="80518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Run Python Script</a:t>
          </a:r>
        </a:p>
      </xdr:txBody>
    </xdr:sp>
    <xdr:clientData/>
  </xdr:twoCellAnchor>
  <xdr:twoCellAnchor>
    <xdr:from>
      <xdr:col>2</xdr:col>
      <xdr:colOff>1508760</xdr:colOff>
      <xdr:row>19</xdr:row>
      <xdr:rowOff>38100</xdr:rowOff>
    </xdr:from>
    <xdr:to>
      <xdr:col>3</xdr:col>
      <xdr:colOff>1150620</xdr:colOff>
      <xdr:row>22</xdr:row>
      <xdr:rowOff>99060</xdr:rowOff>
    </xdr:to>
    <xdr:sp macro="[0]!Rectangle2_Click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B68CC7-0FF9-8CA7-6CCE-A5532022B269}"/>
            </a:ext>
          </a:extLst>
        </xdr:cNvPr>
        <xdr:cNvSpPr/>
      </xdr:nvSpPr>
      <xdr:spPr>
        <a:xfrm>
          <a:off x="3977640" y="3802380"/>
          <a:ext cx="1569720" cy="65532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View Calculated</a:t>
          </a:r>
          <a:r>
            <a:rPr lang="en-IN" sz="1400" baseline="0"/>
            <a:t> KPI's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S17"/>
  <sheetViews>
    <sheetView tabSelected="1" topLeftCell="O1" workbookViewId="0">
      <selection activeCell="S30" sqref="S30"/>
    </sheetView>
  </sheetViews>
  <sheetFormatPr defaultColWidth="12.6640625" defaultRowHeight="15.75" customHeight="1" x14ac:dyDescent="0.25"/>
  <cols>
    <col min="1" max="1" width="13.88671875" customWidth="1"/>
    <col min="2" max="2" width="22.109375" customWidth="1"/>
    <col min="3" max="3" width="28.109375" customWidth="1"/>
    <col min="4" max="4" width="25.6640625" customWidth="1"/>
    <col min="5" max="5" width="26.109375" customWidth="1"/>
    <col min="6" max="6" width="25.33203125" bestFit="1" customWidth="1"/>
    <col min="7" max="7" width="25.77734375" bestFit="1" customWidth="1"/>
    <col min="8" max="8" width="30.6640625" bestFit="1" customWidth="1"/>
    <col min="9" max="9" width="25" customWidth="1"/>
    <col min="10" max="10" width="12.33203125" bestFit="1" customWidth="1"/>
    <col min="12" max="12" width="24.77734375" customWidth="1"/>
    <col min="13" max="13" width="20.33203125" bestFit="1" customWidth="1"/>
    <col min="14" max="14" width="24.77734375" customWidth="1"/>
    <col min="15" max="15" width="15.44140625" bestFit="1" customWidth="1"/>
    <col min="16" max="16" width="13.77734375" bestFit="1" customWidth="1"/>
    <col min="17" max="17" width="13.44140625" bestFit="1" customWidth="1"/>
    <col min="18" max="18" width="31" bestFit="1" customWidth="1"/>
    <col min="19" max="19" width="35.6640625" bestFit="1" customWidth="1"/>
  </cols>
  <sheetData>
    <row r="1" spans="1:19" ht="15.7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37</v>
      </c>
      <c r="N1" s="3" t="s">
        <v>38</v>
      </c>
      <c r="O1" s="13" t="s">
        <v>39</v>
      </c>
      <c r="P1" s="13" t="s">
        <v>40</v>
      </c>
      <c r="Q1" s="13" t="s">
        <v>41</v>
      </c>
      <c r="R1" s="13" t="s">
        <v>47</v>
      </c>
      <c r="S1" s="13" t="s">
        <v>48</v>
      </c>
    </row>
    <row r="2" spans="1:19" ht="15.75" customHeight="1" x14ac:dyDescent="0.25">
      <c r="A2" s="14" t="s">
        <v>12</v>
      </c>
      <c r="B2" s="15">
        <v>44562</v>
      </c>
      <c r="C2" s="15">
        <v>44287</v>
      </c>
      <c r="D2" s="16">
        <v>100000</v>
      </c>
      <c r="E2" s="14">
        <v>20</v>
      </c>
      <c r="F2" s="14">
        <v>15</v>
      </c>
      <c r="G2" s="14">
        <v>5</v>
      </c>
      <c r="H2" s="17">
        <v>10000</v>
      </c>
      <c r="I2" s="17">
        <v>8000</v>
      </c>
      <c r="J2" s="16">
        <v>50</v>
      </c>
      <c r="K2" s="17">
        <v>15000</v>
      </c>
      <c r="L2" s="17">
        <v>10000</v>
      </c>
      <c r="M2" s="18">
        <f>B2-C2</f>
        <v>275</v>
      </c>
      <c r="N2" s="19">
        <f>D2</f>
        <v>100000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ht="15.75" customHeight="1" x14ac:dyDescent="0.25">
      <c r="A3" s="14" t="s">
        <v>13</v>
      </c>
      <c r="B3" s="15">
        <v>44635</v>
      </c>
      <c r="C3" s="15">
        <v>44362</v>
      </c>
      <c r="D3" s="16">
        <v>75000</v>
      </c>
      <c r="E3" s="14">
        <v>15</v>
      </c>
      <c r="F3" s="14">
        <v>10</v>
      </c>
      <c r="G3" s="14">
        <v>3</v>
      </c>
      <c r="H3" s="17">
        <v>8000</v>
      </c>
      <c r="I3" s="17">
        <v>6500</v>
      </c>
      <c r="J3" s="16">
        <v>60</v>
      </c>
      <c r="K3" s="17">
        <v>10000</v>
      </c>
      <c r="L3" s="17">
        <v>8000</v>
      </c>
      <c r="M3" s="18">
        <f t="shared" ref="M3:M17" si="0">B3-C3</f>
        <v>273</v>
      </c>
      <c r="N3" s="19">
        <f t="shared" ref="N3:N17" si="1">D3</f>
        <v>75000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ht="15.75" customHeight="1" x14ac:dyDescent="0.25">
      <c r="A4" s="14" t="s">
        <v>14</v>
      </c>
      <c r="B4" s="15">
        <v>44682</v>
      </c>
      <c r="C4" s="15">
        <v>44409</v>
      </c>
      <c r="D4" s="16">
        <v>150000</v>
      </c>
      <c r="E4" s="14">
        <v>30</v>
      </c>
      <c r="F4" s="14">
        <v>25</v>
      </c>
      <c r="G4" s="14">
        <v>7</v>
      </c>
      <c r="H4" s="17">
        <v>15000</v>
      </c>
      <c r="I4" s="17">
        <v>12000</v>
      </c>
      <c r="J4" s="16">
        <v>75</v>
      </c>
      <c r="K4" s="17">
        <v>20000</v>
      </c>
      <c r="L4" s="17">
        <v>15000</v>
      </c>
      <c r="M4" s="18">
        <f t="shared" si="0"/>
        <v>273</v>
      </c>
      <c r="N4" s="19">
        <f t="shared" si="1"/>
        <v>150000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5.75" customHeight="1" x14ac:dyDescent="0.25">
      <c r="A5" s="14" t="s">
        <v>15</v>
      </c>
      <c r="B5" s="15">
        <v>44757</v>
      </c>
      <c r="C5" s="15">
        <v>44484</v>
      </c>
      <c r="D5" s="16">
        <v>50000</v>
      </c>
      <c r="E5" s="14">
        <v>10</v>
      </c>
      <c r="F5" s="14">
        <v>8</v>
      </c>
      <c r="G5" s="14">
        <v>2</v>
      </c>
      <c r="H5" s="17">
        <v>5000</v>
      </c>
      <c r="I5" s="17">
        <v>4000</v>
      </c>
      <c r="J5" s="16">
        <v>40</v>
      </c>
      <c r="K5" s="17">
        <v>7000</v>
      </c>
      <c r="L5" s="17">
        <v>5000</v>
      </c>
      <c r="M5" s="18">
        <f t="shared" si="0"/>
        <v>273</v>
      </c>
      <c r="N5" s="19">
        <f t="shared" si="1"/>
        <v>50000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5.75" customHeight="1" x14ac:dyDescent="0.25">
      <c r="A6" s="14" t="s">
        <v>16</v>
      </c>
      <c r="B6" s="15">
        <v>44805</v>
      </c>
      <c r="C6" s="15">
        <v>44562</v>
      </c>
      <c r="D6" s="16">
        <v>200000</v>
      </c>
      <c r="E6" s="14">
        <v>40</v>
      </c>
      <c r="F6" s="14">
        <v>35</v>
      </c>
      <c r="G6" s="14">
        <v>10</v>
      </c>
      <c r="H6" s="17">
        <v>20000</v>
      </c>
      <c r="I6" s="17">
        <v>16000</v>
      </c>
      <c r="J6" s="16">
        <v>80</v>
      </c>
      <c r="K6" s="17">
        <v>25000</v>
      </c>
      <c r="L6" s="17">
        <v>20000</v>
      </c>
      <c r="M6" s="18">
        <f t="shared" si="0"/>
        <v>243</v>
      </c>
      <c r="N6" s="19">
        <f t="shared" si="1"/>
        <v>200000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5.75" customHeight="1" x14ac:dyDescent="0.25">
      <c r="A7" s="14" t="s">
        <v>17</v>
      </c>
      <c r="B7" s="15">
        <v>44880</v>
      </c>
      <c r="C7" s="15">
        <v>44607</v>
      </c>
      <c r="D7" s="16">
        <v>125000</v>
      </c>
      <c r="E7" s="14">
        <v>25</v>
      </c>
      <c r="F7" s="14">
        <v>20</v>
      </c>
      <c r="G7" s="14">
        <v>5</v>
      </c>
      <c r="H7" s="17">
        <v>12000</v>
      </c>
      <c r="I7" s="17">
        <v>9500</v>
      </c>
      <c r="J7" s="16">
        <v>70</v>
      </c>
      <c r="K7" s="17">
        <v>15000</v>
      </c>
      <c r="L7" s="17">
        <v>12000</v>
      </c>
      <c r="M7" s="18">
        <f t="shared" si="0"/>
        <v>273</v>
      </c>
      <c r="N7" s="19">
        <f t="shared" si="1"/>
        <v>125000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5.75" customHeight="1" x14ac:dyDescent="0.25">
      <c r="A8" s="14" t="s">
        <v>18</v>
      </c>
      <c r="B8" s="15">
        <v>44927</v>
      </c>
      <c r="C8" s="15">
        <v>44652</v>
      </c>
      <c r="D8" s="16">
        <v>100000</v>
      </c>
      <c r="E8" s="14">
        <v>20</v>
      </c>
      <c r="F8" s="14">
        <v>18</v>
      </c>
      <c r="G8" s="14">
        <v>4</v>
      </c>
      <c r="H8" s="17">
        <v>8000</v>
      </c>
      <c r="I8" s="17">
        <v>6500</v>
      </c>
      <c r="J8" s="16">
        <v>55</v>
      </c>
      <c r="K8" s="17">
        <v>15000</v>
      </c>
      <c r="L8" s="17">
        <v>18000</v>
      </c>
      <c r="M8" s="18">
        <f t="shared" si="0"/>
        <v>275</v>
      </c>
      <c r="N8" s="19">
        <f t="shared" si="1"/>
        <v>100000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5.75" customHeight="1" x14ac:dyDescent="0.25">
      <c r="A9" s="14" t="s">
        <v>19</v>
      </c>
      <c r="B9" s="15">
        <v>45000</v>
      </c>
      <c r="C9" s="15">
        <v>44727</v>
      </c>
      <c r="D9" s="16">
        <v>80000</v>
      </c>
      <c r="E9" s="14">
        <v>16</v>
      </c>
      <c r="F9" s="14">
        <v>14</v>
      </c>
      <c r="G9" s="14">
        <v>3</v>
      </c>
      <c r="H9" s="17">
        <v>6000</v>
      </c>
      <c r="I9" s="17">
        <v>4500</v>
      </c>
      <c r="J9" s="16">
        <v>65</v>
      </c>
      <c r="K9" s="17">
        <v>8000</v>
      </c>
      <c r="L9" s="17">
        <v>6000</v>
      </c>
      <c r="M9" s="18">
        <f t="shared" si="0"/>
        <v>273</v>
      </c>
      <c r="N9" s="19">
        <f t="shared" si="1"/>
        <v>80000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5.75" customHeight="1" x14ac:dyDescent="0.25">
      <c r="A10" s="14" t="s">
        <v>20</v>
      </c>
      <c r="B10" s="15">
        <v>45047</v>
      </c>
      <c r="C10" s="15">
        <v>44774</v>
      </c>
      <c r="D10" s="16">
        <v>175000</v>
      </c>
      <c r="E10" s="14">
        <v>35</v>
      </c>
      <c r="F10" s="14">
        <v>30</v>
      </c>
      <c r="G10" s="14">
        <v>8</v>
      </c>
      <c r="H10" s="17">
        <v>18000</v>
      </c>
      <c r="I10" s="17">
        <v>14500</v>
      </c>
      <c r="J10" s="16">
        <v>90</v>
      </c>
      <c r="K10" s="17">
        <v>22000</v>
      </c>
      <c r="L10" s="17">
        <v>18000</v>
      </c>
      <c r="M10" s="18">
        <f t="shared" si="0"/>
        <v>273</v>
      </c>
      <c r="N10" s="19">
        <f t="shared" si="1"/>
        <v>175000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ht="15.75" customHeight="1" x14ac:dyDescent="0.25">
      <c r="A11" s="14" t="s">
        <v>12</v>
      </c>
      <c r="B11" s="15">
        <v>45536</v>
      </c>
      <c r="C11" s="15">
        <v>45292</v>
      </c>
      <c r="D11" s="16">
        <v>200000</v>
      </c>
      <c r="E11" s="14">
        <v>40</v>
      </c>
      <c r="F11" s="14">
        <v>35</v>
      </c>
      <c r="G11" s="14">
        <v>10</v>
      </c>
      <c r="H11" s="17">
        <v>20000</v>
      </c>
      <c r="I11" s="17">
        <v>16000</v>
      </c>
      <c r="J11" s="16">
        <v>75</v>
      </c>
      <c r="K11" s="17">
        <v>25000</v>
      </c>
      <c r="L11" s="17">
        <v>20000</v>
      </c>
      <c r="M11" s="18">
        <f t="shared" si="0"/>
        <v>244</v>
      </c>
      <c r="N11" s="19">
        <f t="shared" si="1"/>
        <v>200000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  <row r="12" spans="1:19" ht="15.75" customHeight="1" x14ac:dyDescent="0.25">
      <c r="A12" s="14" t="s">
        <v>21</v>
      </c>
      <c r="B12" s="15">
        <v>45170</v>
      </c>
      <c r="C12" s="15">
        <v>44927</v>
      </c>
      <c r="D12" s="16">
        <v>250000</v>
      </c>
      <c r="E12" s="14">
        <v>50</v>
      </c>
      <c r="F12" s="14">
        <v>45</v>
      </c>
      <c r="G12" s="14">
        <v>12</v>
      </c>
      <c r="H12" s="17">
        <v>25000</v>
      </c>
      <c r="I12" s="17">
        <v>20000</v>
      </c>
      <c r="J12" s="16">
        <v>100</v>
      </c>
      <c r="K12" s="17">
        <v>30000</v>
      </c>
      <c r="L12" s="17">
        <v>25000</v>
      </c>
      <c r="M12" s="18">
        <f t="shared" si="0"/>
        <v>243</v>
      </c>
      <c r="N12" s="19">
        <f t="shared" si="1"/>
        <v>250000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</row>
    <row r="13" spans="1:19" ht="15.75" customHeight="1" x14ac:dyDescent="0.25">
      <c r="A13" s="14" t="s">
        <v>22</v>
      </c>
      <c r="B13" s="15">
        <v>45245</v>
      </c>
      <c r="C13" s="15">
        <v>44972</v>
      </c>
      <c r="D13" s="16">
        <v>175000</v>
      </c>
      <c r="E13" s="14">
        <v>35</v>
      </c>
      <c r="F13" s="14">
        <v>30</v>
      </c>
      <c r="G13" s="14">
        <v>8</v>
      </c>
      <c r="H13" s="17">
        <v>18000</v>
      </c>
      <c r="I13" s="17">
        <v>15000</v>
      </c>
      <c r="J13" s="16">
        <v>85</v>
      </c>
      <c r="K13" s="17">
        <v>22000</v>
      </c>
      <c r="L13" s="17">
        <v>18000</v>
      </c>
      <c r="M13" s="18">
        <f t="shared" si="0"/>
        <v>273</v>
      </c>
      <c r="N13" s="19">
        <f t="shared" si="1"/>
        <v>175000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</row>
    <row r="14" spans="1:19" ht="15.75" customHeight="1" x14ac:dyDescent="0.25">
      <c r="A14" s="14" t="s">
        <v>23</v>
      </c>
      <c r="B14" s="15">
        <v>45292</v>
      </c>
      <c r="C14" s="15">
        <v>45017</v>
      </c>
      <c r="D14" s="16">
        <v>100000</v>
      </c>
      <c r="E14" s="14">
        <v>20</v>
      </c>
      <c r="F14" s="14">
        <v>18</v>
      </c>
      <c r="G14" s="14">
        <v>4</v>
      </c>
      <c r="H14" s="17">
        <v>8000</v>
      </c>
      <c r="I14" s="17">
        <v>6500</v>
      </c>
      <c r="J14" s="16">
        <v>60</v>
      </c>
      <c r="K14" s="17">
        <v>10000</v>
      </c>
      <c r="L14" s="17">
        <v>8000</v>
      </c>
      <c r="M14" s="18">
        <f t="shared" si="0"/>
        <v>275</v>
      </c>
      <c r="N14" s="19">
        <f t="shared" si="1"/>
        <v>100000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5.75" customHeight="1" x14ac:dyDescent="0.25">
      <c r="A15" s="14" t="s">
        <v>24</v>
      </c>
      <c r="B15" s="15">
        <v>45366</v>
      </c>
      <c r="C15" s="15">
        <v>45092</v>
      </c>
      <c r="D15" s="16">
        <v>80000</v>
      </c>
      <c r="E15" s="14">
        <v>16</v>
      </c>
      <c r="F15" s="14">
        <v>14</v>
      </c>
      <c r="G15" s="14">
        <v>3</v>
      </c>
      <c r="H15" s="17">
        <v>6000</v>
      </c>
      <c r="I15" s="17">
        <v>4500</v>
      </c>
      <c r="J15" s="16">
        <v>70</v>
      </c>
      <c r="K15" s="17">
        <v>8000</v>
      </c>
      <c r="L15" s="17">
        <v>6000</v>
      </c>
      <c r="M15" s="18">
        <f t="shared" si="0"/>
        <v>274</v>
      </c>
      <c r="N15" s="19">
        <f t="shared" si="1"/>
        <v>80000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5.75" customHeight="1" x14ac:dyDescent="0.25">
      <c r="A16" s="14" t="s">
        <v>25</v>
      </c>
      <c r="B16" s="15">
        <v>45413</v>
      </c>
      <c r="C16" s="15">
        <v>45139</v>
      </c>
      <c r="D16" s="16">
        <v>175000</v>
      </c>
      <c r="E16" s="14">
        <v>35</v>
      </c>
      <c r="F16" s="14">
        <v>30</v>
      </c>
      <c r="G16" s="14">
        <v>8</v>
      </c>
      <c r="H16" s="17">
        <v>18000</v>
      </c>
      <c r="I16" s="17">
        <v>14500</v>
      </c>
      <c r="J16" s="16">
        <v>95</v>
      </c>
      <c r="K16" s="17">
        <v>22000</v>
      </c>
      <c r="L16" s="17">
        <v>18000</v>
      </c>
      <c r="M16" s="18">
        <f t="shared" si="0"/>
        <v>274</v>
      </c>
      <c r="N16" s="19">
        <f t="shared" si="1"/>
        <v>175000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1:19" ht="15.75" customHeight="1" x14ac:dyDescent="0.25">
      <c r="A17" s="14" t="s">
        <v>26</v>
      </c>
      <c r="B17" s="15">
        <v>45488</v>
      </c>
      <c r="C17" s="15">
        <v>45214</v>
      </c>
      <c r="D17" s="16">
        <v>50000</v>
      </c>
      <c r="E17" s="14">
        <v>10</v>
      </c>
      <c r="F17" s="14">
        <v>8</v>
      </c>
      <c r="G17" s="14">
        <v>2</v>
      </c>
      <c r="H17" s="17">
        <v>5000</v>
      </c>
      <c r="I17" s="17">
        <v>4000</v>
      </c>
      <c r="J17" s="16">
        <v>45</v>
      </c>
      <c r="K17" s="17">
        <v>7000</v>
      </c>
      <c r="L17" s="17">
        <v>5000</v>
      </c>
      <c r="M17" s="18">
        <f t="shared" si="0"/>
        <v>274</v>
      </c>
      <c r="N17" s="19">
        <f t="shared" si="1"/>
        <v>50000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</sheetData>
  <conditionalFormatting sqref="O1:O17">
    <cfRule type="cellIs" dxfId="5" priority="6" stopIfTrue="1" operator="greaterThan">
      <formula>80</formula>
    </cfRule>
  </conditionalFormatting>
  <conditionalFormatting sqref="P1:P17">
    <cfRule type="cellIs" dxfId="4" priority="5" stopIfTrue="1" operator="lessThan">
      <formula>55</formula>
    </cfRule>
  </conditionalFormatting>
  <conditionalFormatting sqref="Q1:Q17">
    <cfRule type="cellIs" dxfId="3" priority="4" stopIfTrue="1" operator="lessThanOrEqual">
      <formula>1000000</formula>
    </cfRule>
  </conditionalFormatting>
  <conditionalFormatting sqref="R1:R17">
    <cfRule type="cellIs" dxfId="2" priority="3" stopIfTrue="1" operator="lessThan">
      <formula>120</formula>
    </cfRule>
  </conditionalFormatting>
  <conditionalFormatting sqref="S1:S17">
    <cfRule type="cellIs" dxfId="1" priority="2" stopIfTrue="1" operator="lessThan">
      <formula>1</formula>
    </cfRule>
  </conditionalFormatting>
  <conditionalFormatting sqref="O1:S17">
    <cfRule type="expression" dxfId="0" priority="1" stopIfTrue="1">
      <formula>LEN(TRIM(O1))=0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75AE-67A8-4E40-B741-648799B3EA63}">
  <sheetPr codeName="Sheet2"/>
  <dimension ref="A1:S17"/>
  <sheetViews>
    <sheetView topLeftCell="P1" workbookViewId="0">
      <selection activeCell="O1" sqref="O1:S17"/>
    </sheetView>
  </sheetViews>
  <sheetFormatPr defaultColWidth="11.5546875" defaultRowHeight="13.2" x14ac:dyDescent="0.25"/>
  <cols>
    <col min="1" max="1" width="12.109375" bestFit="1" customWidth="1"/>
    <col min="2" max="2" width="20.33203125" bestFit="1" customWidth="1"/>
    <col min="3" max="3" width="29" bestFit="1" customWidth="1"/>
    <col min="4" max="4" width="25" bestFit="1" customWidth="1"/>
    <col min="5" max="5" width="23.6640625" bestFit="1" customWidth="1"/>
    <col min="6" max="6" width="25.109375" bestFit="1" customWidth="1"/>
    <col min="7" max="7" width="25.44140625" bestFit="1" customWidth="1"/>
    <col min="8" max="8" width="30.33203125" bestFit="1" customWidth="1"/>
    <col min="9" max="9" width="21.6640625" bestFit="1" customWidth="1"/>
    <col min="10" max="10" width="11.6640625" bestFit="1" customWidth="1"/>
    <col min="11" max="11" width="24.109375" bestFit="1" customWidth="1"/>
    <col min="12" max="12" width="22.44140625" bestFit="1" customWidth="1"/>
    <col min="13" max="13" width="13" bestFit="1" customWidth="1"/>
    <col min="14" max="14" width="22.44140625" bestFit="1" customWidth="1"/>
    <col min="15" max="15" width="19.109375" customWidth="1"/>
    <col min="16" max="16" width="24" customWidth="1"/>
    <col min="17" max="17" width="13" bestFit="1" customWidth="1"/>
    <col min="18" max="18" width="31" bestFit="1" customWidth="1"/>
    <col min="19" max="19" width="33.77734375" bestFit="1" customWidth="1"/>
    <col min="20" max="20" width="12.109375" bestFit="1" customWidth="1"/>
  </cols>
  <sheetData>
    <row r="1" spans="1:19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37</v>
      </c>
      <c r="N1" s="13" t="s">
        <v>38</v>
      </c>
      <c r="O1" s="13" t="s">
        <v>39</v>
      </c>
      <c r="P1" s="13" t="s">
        <v>40</v>
      </c>
      <c r="Q1" s="13" t="s">
        <v>41</v>
      </c>
      <c r="R1" s="13" t="s">
        <v>47</v>
      </c>
      <c r="S1" s="13" t="s">
        <v>48</v>
      </c>
    </row>
    <row r="2" spans="1:19" x14ac:dyDescent="0.25">
      <c r="A2" s="5" t="s">
        <v>12</v>
      </c>
      <c r="B2" s="6">
        <v>44562</v>
      </c>
      <c r="C2" s="6">
        <v>44287</v>
      </c>
      <c r="D2" s="1">
        <v>100000</v>
      </c>
      <c r="E2" s="1">
        <v>20</v>
      </c>
      <c r="F2" s="1">
        <v>15</v>
      </c>
      <c r="G2" s="1">
        <v>5</v>
      </c>
      <c r="H2" s="1">
        <v>10000</v>
      </c>
      <c r="I2" s="1">
        <v>8000</v>
      </c>
      <c r="J2" s="1">
        <v>50</v>
      </c>
      <c r="K2" s="1">
        <v>15000</v>
      </c>
      <c r="L2" s="1">
        <v>10000</v>
      </c>
      <c r="M2" s="1">
        <v>275</v>
      </c>
      <c r="N2" s="1">
        <v>100000</v>
      </c>
      <c r="O2" s="1">
        <v>75</v>
      </c>
      <c r="P2" s="1">
        <v>0.05</v>
      </c>
      <c r="Q2" s="1">
        <v>400000</v>
      </c>
      <c r="R2" s="1">
        <v>133.33333333333331</v>
      </c>
      <c r="S2" s="1">
        <v>0.05</v>
      </c>
    </row>
    <row r="3" spans="1:19" x14ac:dyDescent="0.25">
      <c r="A3" s="1" t="s">
        <v>13</v>
      </c>
      <c r="B3" s="6">
        <v>44635</v>
      </c>
      <c r="C3" s="6">
        <v>44362</v>
      </c>
      <c r="D3" s="1">
        <v>75000</v>
      </c>
      <c r="E3" s="1">
        <v>15</v>
      </c>
      <c r="F3" s="1">
        <v>10</v>
      </c>
      <c r="G3" s="1">
        <v>3</v>
      </c>
      <c r="H3" s="1">
        <v>8000</v>
      </c>
      <c r="I3" s="1">
        <v>6500</v>
      </c>
      <c r="J3" s="1">
        <v>60</v>
      </c>
      <c r="K3" s="1">
        <v>10000</v>
      </c>
      <c r="L3" s="1">
        <v>8000</v>
      </c>
      <c r="M3" s="1">
        <v>273</v>
      </c>
      <c r="N3" s="1">
        <v>75000</v>
      </c>
      <c r="O3" s="1">
        <v>66.666666666666657</v>
      </c>
      <c r="P3" s="1">
        <v>3.7499999999999999E-2</v>
      </c>
      <c r="Q3" s="1">
        <v>390000</v>
      </c>
      <c r="R3" s="1">
        <v>150</v>
      </c>
      <c r="S3" s="1">
        <v>3.7499999999999999E-2</v>
      </c>
    </row>
    <row r="4" spans="1:19" x14ac:dyDescent="0.25">
      <c r="A4" s="1" t="s">
        <v>14</v>
      </c>
      <c r="B4" s="6">
        <v>44682</v>
      </c>
      <c r="C4" s="6">
        <v>44409</v>
      </c>
      <c r="D4" s="1">
        <v>150000</v>
      </c>
      <c r="E4" s="1">
        <v>30</v>
      </c>
      <c r="F4" s="1">
        <v>25</v>
      </c>
      <c r="G4" s="1">
        <v>7</v>
      </c>
      <c r="H4" s="1">
        <v>15000</v>
      </c>
      <c r="I4" s="1">
        <v>12000</v>
      </c>
      <c r="J4" s="1">
        <v>75</v>
      </c>
      <c r="K4" s="1">
        <v>20000</v>
      </c>
      <c r="L4" s="1">
        <v>15000</v>
      </c>
      <c r="M4" s="1">
        <v>273</v>
      </c>
      <c r="N4" s="1">
        <v>150000</v>
      </c>
      <c r="O4" s="1">
        <v>83.333333333333343</v>
      </c>
      <c r="P4" s="1">
        <v>4.6666666666666669E-2</v>
      </c>
      <c r="Q4" s="1">
        <v>900000</v>
      </c>
      <c r="R4" s="1">
        <v>120</v>
      </c>
      <c r="S4" s="1">
        <v>4.6666666666666669E-2</v>
      </c>
    </row>
    <row r="5" spans="1:19" x14ac:dyDescent="0.25">
      <c r="A5" s="1" t="s">
        <v>15</v>
      </c>
      <c r="B5" s="6">
        <v>44757</v>
      </c>
      <c r="C5" s="6">
        <v>44484</v>
      </c>
      <c r="D5" s="1">
        <v>50000</v>
      </c>
      <c r="E5" s="1">
        <v>10</v>
      </c>
      <c r="F5" s="1">
        <v>8</v>
      </c>
      <c r="G5" s="1">
        <v>2</v>
      </c>
      <c r="H5" s="1">
        <v>5000</v>
      </c>
      <c r="I5" s="1">
        <v>4000</v>
      </c>
      <c r="J5" s="1">
        <v>40</v>
      </c>
      <c r="K5" s="1">
        <v>7000</v>
      </c>
      <c r="L5" s="1">
        <v>5000</v>
      </c>
      <c r="M5" s="1">
        <v>273</v>
      </c>
      <c r="N5" s="1">
        <v>50000</v>
      </c>
      <c r="O5" s="1">
        <v>80</v>
      </c>
      <c r="P5" s="1">
        <v>0.04</v>
      </c>
      <c r="Q5" s="1">
        <v>160000</v>
      </c>
      <c r="R5" s="1">
        <v>125</v>
      </c>
      <c r="S5" s="1">
        <v>0.04</v>
      </c>
    </row>
    <row r="6" spans="1:19" x14ac:dyDescent="0.25">
      <c r="A6" s="1" t="s">
        <v>16</v>
      </c>
      <c r="B6" s="6">
        <v>44805</v>
      </c>
      <c r="C6" s="6">
        <v>44562</v>
      </c>
      <c r="D6" s="1">
        <v>200000</v>
      </c>
      <c r="E6" s="1">
        <v>40</v>
      </c>
      <c r="F6" s="1">
        <v>35</v>
      </c>
      <c r="G6" s="1">
        <v>10</v>
      </c>
      <c r="H6" s="1">
        <v>20000</v>
      </c>
      <c r="I6" s="1">
        <v>16000</v>
      </c>
      <c r="J6" s="1">
        <v>80</v>
      </c>
      <c r="K6" s="1">
        <v>25000</v>
      </c>
      <c r="L6" s="1">
        <v>20000</v>
      </c>
      <c r="M6" s="1">
        <v>243</v>
      </c>
      <c r="N6" s="1">
        <v>200000</v>
      </c>
      <c r="O6" s="1">
        <v>87.5</v>
      </c>
      <c r="P6" s="1">
        <v>0.05</v>
      </c>
      <c r="Q6" s="1">
        <v>1280000</v>
      </c>
      <c r="R6" s="1">
        <v>114.28571428571428</v>
      </c>
      <c r="S6" s="1">
        <v>0.05</v>
      </c>
    </row>
    <row r="7" spans="1:19" x14ac:dyDescent="0.25">
      <c r="A7" s="1" t="s">
        <v>17</v>
      </c>
      <c r="B7" s="6">
        <v>44880</v>
      </c>
      <c r="C7" s="6">
        <v>44607</v>
      </c>
      <c r="D7" s="1">
        <v>125000</v>
      </c>
      <c r="E7" s="1">
        <v>25</v>
      </c>
      <c r="F7" s="1">
        <v>20</v>
      </c>
      <c r="G7" s="1">
        <v>5</v>
      </c>
      <c r="H7" s="1">
        <v>12000</v>
      </c>
      <c r="I7" s="1">
        <v>9500</v>
      </c>
      <c r="J7" s="1">
        <v>70</v>
      </c>
      <c r="K7" s="1">
        <v>15000</v>
      </c>
      <c r="L7" s="1">
        <v>12000</v>
      </c>
      <c r="M7" s="1">
        <v>273</v>
      </c>
      <c r="N7" s="1">
        <v>125000</v>
      </c>
      <c r="O7" s="1">
        <v>80</v>
      </c>
      <c r="P7" s="1">
        <v>4.1666666666666671E-2</v>
      </c>
      <c r="Q7" s="1">
        <v>665000</v>
      </c>
      <c r="R7" s="1">
        <v>125</v>
      </c>
      <c r="S7" s="1">
        <v>4.1666666666666671E-2</v>
      </c>
    </row>
    <row r="8" spans="1:19" x14ac:dyDescent="0.25">
      <c r="A8" s="1" t="s">
        <v>18</v>
      </c>
      <c r="B8" s="6">
        <v>44927</v>
      </c>
      <c r="C8" s="6">
        <v>44652</v>
      </c>
      <c r="D8" s="1">
        <v>100000</v>
      </c>
      <c r="E8" s="1">
        <v>20</v>
      </c>
      <c r="F8" s="1">
        <v>18</v>
      </c>
      <c r="G8" s="1">
        <v>4</v>
      </c>
      <c r="H8" s="1">
        <v>8000</v>
      </c>
      <c r="I8" s="1">
        <v>6500</v>
      </c>
      <c r="J8" s="1">
        <v>55</v>
      </c>
      <c r="K8" s="1">
        <v>15000</v>
      </c>
      <c r="L8" s="1">
        <v>18000</v>
      </c>
      <c r="M8" s="1">
        <v>275</v>
      </c>
      <c r="N8" s="1">
        <v>100000</v>
      </c>
      <c r="O8" s="1">
        <v>90</v>
      </c>
      <c r="P8" s="1">
        <v>0.05</v>
      </c>
      <c r="Q8" s="1">
        <v>357500</v>
      </c>
      <c r="R8" s="1">
        <v>111.11111111111111</v>
      </c>
      <c r="S8" s="1">
        <v>0.05</v>
      </c>
    </row>
    <row r="9" spans="1:19" x14ac:dyDescent="0.25">
      <c r="A9" s="1" t="s">
        <v>19</v>
      </c>
      <c r="B9" s="6">
        <v>45000</v>
      </c>
      <c r="C9" s="6">
        <v>44727</v>
      </c>
      <c r="D9" s="1">
        <v>80000</v>
      </c>
      <c r="E9" s="1">
        <v>16</v>
      </c>
      <c r="F9" s="1">
        <v>14</v>
      </c>
      <c r="G9" s="1">
        <v>3</v>
      </c>
      <c r="H9" s="1">
        <v>6000</v>
      </c>
      <c r="I9" s="1">
        <v>4500</v>
      </c>
      <c r="J9" s="1">
        <v>65</v>
      </c>
      <c r="K9" s="1">
        <v>8000</v>
      </c>
      <c r="L9" s="1">
        <v>6000</v>
      </c>
      <c r="M9" s="1">
        <v>273</v>
      </c>
      <c r="N9" s="1">
        <v>80000</v>
      </c>
      <c r="O9" s="1">
        <v>87.5</v>
      </c>
      <c r="P9" s="1">
        <v>0.05</v>
      </c>
      <c r="Q9" s="1">
        <v>292500</v>
      </c>
      <c r="R9" s="1">
        <v>114.28571428571428</v>
      </c>
      <c r="S9" s="1">
        <v>0.05</v>
      </c>
    </row>
    <row r="10" spans="1:19" x14ac:dyDescent="0.25">
      <c r="A10" s="1" t="s">
        <v>20</v>
      </c>
      <c r="B10" s="6">
        <v>45047</v>
      </c>
      <c r="C10" s="6">
        <v>44774</v>
      </c>
      <c r="D10" s="1">
        <v>175000</v>
      </c>
      <c r="E10" s="1">
        <v>35</v>
      </c>
      <c r="F10" s="1">
        <v>30</v>
      </c>
      <c r="G10" s="1">
        <v>8</v>
      </c>
      <c r="H10" s="1">
        <v>18000</v>
      </c>
      <c r="I10" s="1">
        <v>14500</v>
      </c>
      <c r="J10" s="1">
        <v>90</v>
      </c>
      <c r="K10" s="1">
        <v>22000</v>
      </c>
      <c r="L10" s="1">
        <v>18000</v>
      </c>
      <c r="M10" s="1">
        <v>273</v>
      </c>
      <c r="N10" s="1">
        <v>175000</v>
      </c>
      <c r="O10" s="1">
        <v>85.714285714285708</v>
      </c>
      <c r="P10" s="1">
        <v>4.4444444444444446E-2</v>
      </c>
      <c r="Q10" s="1">
        <v>1305000</v>
      </c>
      <c r="R10" s="1">
        <v>116.66666666666667</v>
      </c>
      <c r="S10" s="1">
        <v>4.4444444444444446E-2</v>
      </c>
    </row>
    <row r="11" spans="1:19" x14ac:dyDescent="0.25">
      <c r="A11" s="1" t="s">
        <v>12</v>
      </c>
      <c r="B11" s="6">
        <v>45536</v>
      </c>
      <c r="C11" s="6">
        <v>45292</v>
      </c>
      <c r="D11" s="1">
        <v>200000</v>
      </c>
      <c r="E11" s="1">
        <v>40</v>
      </c>
      <c r="F11" s="1">
        <v>35</v>
      </c>
      <c r="G11" s="1">
        <v>10</v>
      </c>
      <c r="H11" s="1">
        <v>20000</v>
      </c>
      <c r="I11" s="1">
        <v>16000</v>
      </c>
      <c r="J11" s="1">
        <v>75</v>
      </c>
      <c r="K11" s="1">
        <v>25000</v>
      </c>
      <c r="L11" s="1">
        <v>20000</v>
      </c>
      <c r="M11" s="1">
        <v>244</v>
      </c>
      <c r="N11" s="1">
        <v>200000</v>
      </c>
      <c r="O11" s="1">
        <v>87.5</v>
      </c>
      <c r="P11" s="1">
        <v>0.05</v>
      </c>
      <c r="Q11" s="1">
        <v>1200000</v>
      </c>
      <c r="R11" s="1">
        <v>114.28571428571428</v>
      </c>
      <c r="S11" s="1">
        <v>0.05</v>
      </c>
    </row>
    <row r="12" spans="1:19" x14ac:dyDescent="0.25">
      <c r="A12" s="1" t="s">
        <v>21</v>
      </c>
      <c r="B12" s="6">
        <v>45170</v>
      </c>
      <c r="C12" s="6">
        <v>44927</v>
      </c>
      <c r="D12" s="1">
        <v>250000</v>
      </c>
      <c r="E12" s="1">
        <v>50</v>
      </c>
      <c r="F12" s="1">
        <v>45</v>
      </c>
      <c r="G12" s="1">
        <v>12</v>
      </c>
      <c r="H12" s="1">
        <v>25000</v>
      </c>
      <c r="I12" s="1">
        <v>20000</v>
      </c>
      <c r="J12" s="1">
        <v>100</v>
      </c>
      <c r="K12" s="1">
        <v>30000</v>
      </c>
      <c r="L12" s="1">
        <v>25000</v>
      </c>
      <c r="M12" s="1">
        <v>243</v>
      </c>
      <c r="N12" s="1">
        <v>250000</v>
      </c>
      <c r="O12" s="1">
        <v>90</v>
      </c>
      <c r="P12" s="1">
        <v>4.8000000000000001E-2</v>
      </c>
      <c r="Q12" s="1">
        <v>2000000</v>
      </c>
      <c r="R12" s="1">
        <v>111.11111111111111</v>
      </c>
      <c r="S12" s="1">
        <v>4.8000000000000001E-2</v>
      </c>
    </row>
    <row r="13" spans="1:19" x14ac:dyDescent="0.25">
      <c r="A13" s="1" t="s">
        <v>22</v>
      </c>
      <c r="B13" s="6">
        <v>45245</v>
      </c>
      <c r="C13" s="6">
        <v>44972</v>
      </c>
      <c r="D13" s="1">
        <v>175000</v>
      </c>
      <c r="E13" s="1">
        <v>35</v>
      </c>
      <c r="F13" s="1">
        <v>30</v>
      </c>
      <c r="G13" s="1">
        <v>8</v>
      </c>
      <c r="H13" s="1">
        <v>18000</v>
      </c>
      <c r="I13" s="1">
        <v>15000</v>
      </c>
      <c r="J13" s="1">
        <v>85</v>
      </c>
      <c r="K13" s="1">
        <v>22000</v>
      </c>
      <c r="L13" s="1">
        <v>18000</v>
      </c>
      <c r="M13" s="1">
        <v>273</v>
      </c>
      <c r="N13" s="1">
        <v>175000</v>
      </c>
      <c r="O13" s="1">
        <v>85.714285714285708</v>
      </c>
      <c r="P13" s="1">
        <v>4.4444444444444446E-2</v>
      </c>
      <c r="Q13" s="1">
        <v>1275000</v>
      </c>
      <c r="R13" s="1">
        <v>116.66666666666667</v>
      </c>
      <c r="S13" s="1">
        <v>4.4444444444444446E-2</v>
      </c>
    </row>
    <row r="14" spans="1:19" x14ac:dyDescent="0.25">
      <c r="A14" s="1" t="s">
        <v>23</v>
      </c>
      <c r="B14" s="6">
        <v>45292</v>
      </c>
      <c r="C14" s="6">
        <v>45017</v>
      </c>
      <c r="D14" s="1">
        <v>100000</v>
      </c>
      <c r="E14" s="1">
        <v>20</v>
      </c>
      <c r="F14" s="1">
        <v>18</v>
      </c>
      <c r="G14" s="1">
        <v>4</v>
      </c>
      <c r="H14" s="1">
        <v>8000</v>
      </c>
      <c r="I14" s="1">
        <v>6500</v>
      </c>
      <c r="J14" s="1">
        <v>60</v>
      </c>
      <c r="K14" s="1">
        <v>10000</v>
      </c>
      <c r="L14" s="1">
        <v>8000</v>
      </c>
      <c r="M14" s="1">
        <v>275</v>
      </c>
      <c r="N14" s="1">
        <v>100000</v>
      </c>
      <c r="O14" s="1">
        <v>90</v>
      </c>
      <c r="P14" s="1">
        <v>0.05</v>
      </c>
      <c r="Q14" s="1">
        <v>390000</v>
      </c>
      <c r="R14" s="1">
        <v>111.11111111111111</v>
      </c>
      <c r="S14" s="1">
        <v>0.05</v>
      </c>
    </row>
    <row r="15" spans="1:19" x14ac:dyDescent="0.25">
      <c r="A15" s="1" t="s">
        <v>24</v>
      </c>
      <c r="B15" s="6">
        <v>45366</v>
      </c>
      <c r="C15" s="6">
        <v>45092</v>
      </c>
      <c r="D15" s="1">
        <v>80000</v>
      </c>
      <c r="E15" s="1">
        <v>16</v>
      </c>
      <c r="F15" s="1">
        <v>14</v>
      </c>
      <c r="G15" s="1">
        <v>3</v>
      </c>
      <c r="H15" s="1">
        <v>6000</v>
      </c>
      <c r="I15" s="1">
        <v>4500</v>
      </c>
      <c r="J15" s="1">
        <v>70</v>
      </c>
      <c r="K15" s="1">
        <v>8000</v>
      </c>
      <c r="L15" s="1">
        <v>6000</v>
      </c>
      <c r="M15" s="1">
        <v>274</v>
      </c>
      <c r="N15" s="1">
        <v>80000</v>
      </c>
      <c r="O15" s="1">
        <v>87.5</v>
      </c>
      <c r="P15" s="1">
        <v>0.05</v>
      </c>
      <c r="Q15" s="1">
        <v>315000</v>
      </c>
      <c r="R15" s="1">
        <v>114.28571428571428</v>
      </c>
      <c r="S15" s="1">
        <v>0.05</v>
      </c>
    </row>
    <row r="16" spans="1:19" x14ac:dyDescent="0.25">
      <c r="A16" s="1" t="s">
        <v>25</v>
      </c>
      <c r="B16" s="6">
        <v>45413</v>
      </c>
      <c r="C16" s="6">
        <v>45139</v>
      </c>
      <c r="D16" s="1">
        <v>175000</v>
      </c>
      <c r="E16" s="1">
        <v>35</v>
      </c>
      <c r="F16" s="1">
        <v>30</v>
      </c>
      <c r="G16" s="1">
        <v>8</v>
      </c>
      <c r="H16" s="1">
        <v>18000</v>
      </c>
      <c r="I16" s="1">
        <v>14500</v>
      </c>
      <c r="J16" s="1">
        <v>95</v>
      </c>
      <c r="K16" s="1">
        <v>22000</v>
      </c>
      <c r="L16" s="1">
        <v>18000</v>
      </c>
      <c r="M16" s="1">
        <v>274</v>
      </c>
      <c r="N16" s="1">
        <v>175000</v>
      </c>
      <c r="O16" s="1">
        <v>85.714285714285708</v>
      </c>
      <c r="P16" s="1">
        <v>4.4444444444444446E-2</v>
      </c>
      <c r="Q16" s="1">
        <v>1377500</v>
      </c>
      <c r="R16" s="1">
        <v>116.66666666666667</v>
      </c>
      <c r="S16" s="1">
        <v>4.4444444444444446E-2</v>
      </c>
    </row>
    <row r="17" spans="1:19" x14ac:dyDescent="0.25">
      <c r="A17" s="1" t="s">
        <v>26</v>
      </c>
      <c r="B17" s="6">
        <v>45488</v>
      </c>
      <c r="C17" s="6">
        <v>45214</v>
      </c>
      <c r="D17" s="1">
        <v>50000</v>
      </c>
      <c r="E17" s="1">
        <v>10</v>
      </c>
      <c r="F17" s="1">
        <v>8</v>
      </c>
      <c r="G17" s="1">
        <v>2</v>
      </c>
      <c r="H17" s="1">
        <v>5000</v>
      </c>
      <c r="I17" s="1">
        <v>4000</v>
      </c>
      <c r="J17" s="1">
        <v>45</v>
      </c>
      <c r="K17" s="1">
        <v>7000</v>
      </c>
      <c r="L17" s="1">
        <v>5000</v>
      </c>
      <c r="M17" s="1">
        <v>274</v>
      </c>
      <c r="N17" s="1">
        <v>50000</v>
      </c>
      <c r="O17" s="1">
        <v>80</v>
      </c>
      <c r="P17" s="1">
        <v>0.04</v>
      </c>
      <c r="Q17" s="1">
        <v>180000</v>
      </c>
      <c r="R17" s="1">
        <v>125</v>
      </c>
      <c r="S17" s="1">
        <v>0.04</v>
      </c>
    </row>
  </sheetData>
  <conditionalFormatting sqref="A1:N1000 T1:AZ1000">
    <cfRule type="expression" dxfId="61" priority="302" stopIfTrue="1">
      <formula>LEN(TRIM(A1))=0</formula>
    </cfRule>
  </conditionalFormatting>
  <conditionalFormatting sqref="A1:N1000 T1:AZ1000">
    <cfRule type="expression" dxfId="60" priority="296" stopIfTrue="1">
      <formula>LEN(TRIM(A1))=0</formula>
    </cfRule>
  </conditionalFormatting>
  <conditionalFormatting sqref="A1:N1000 T1:AZ1000">
    <cfRule type="expression" dxfId="59" priority="290" stopIfTrue="1">
      <formula>LEN(TRIM(A1))=0</formula>
    </cfRule>
  </conditionalFormatting>
  <conditionalFormatting sqref="A1:N1000 T1:AZ1000">
    <cfRule type="expression" dxfId="58" priority="284" stopIfTrue="1">
      <formula>LEN(TRIM(A1))=0</formula>
    </cfRule>
  </conditionalFormatting>
  <conditionalFormatting sqref="A1:N1000 T1:AZ1000">
    <cfRule type="expression" dxfId="57" priority="278" stopIfTrue="1">
      <formula>LEN(TRIM(A1))=0</formula>
    </cfRule>
  </conditionalFormatting>
  <conditionalFormatting sqref="A1:N1000 T1:AZ1000">
    <cfRule type="expression" dxfId="56" priority="272" stopIfTrue="1">
      <formula>LEN(TRIM(A1))=0</formula>
    </cfRule>
  </conditionalFormatting>
  <conditionalFormatting sqref="A1:N1000 T1:AZ1000">
    <cfRule type="expression" dxfId="55" priority="266" stopIfTrue="1">
      <formula>LEN(TRIM(A1))=0</formula>
    </cfRule>
  </conditionalFormatting>
  <conditionalFormatting sqref="A1:N1000 T1:AZ1000">
    <cfRule type="expression" dxfId="54" priority="260" stopIfTrue="1">
      <formula>LEN(TRIM(A1))=0</formula>
    </cfRule>
  </conditionalFormatting>
  <conditionalFormatting sqref="A1:N1000 T1:AZ1000">
    <cfRule type="expression" dxfId="53" priority="254" stopIfTrue="1">
      <formula>LEN(TRIM(A1))=0</formula>
    </cfRule>
  </conditionalFormatting>
  <conditionalFormatting sqref="A1:N1000 T1:AZ1000">
    <cfRule type="expression" dxfId="52" priority="248" stopIfTrue="1">
      <formula>LEN(TRIM(A1))=0</formula>
    </cfRule>
  </conditionalFormatting>
  <conditionalFormatting sqref="A1:N1000 T1:AZ1000">
    <cfRule type="expression" dxfId="51" priority="242" stopIfTrue="1">
      <formula>LEN(TRIM(A1))=0</formula>
    </cfRule>
  </conditionalFormatting>
  <conditionalFormatting sqref="A1:N1000 T1:AZ1000">
    <cfRule type="expression" dxfId="50" priority="236" stopIfTrue="1">
      <formula>LEN(TRIM(A1))=0</formula>
    </cfRule>
  </conditionalFormatting>
  <conditionalFormatting sqref="A1:N1000 T1:AZ1000">
    <cfRule type="expression" dxfId="49" priority="230" stopIfTrue="1">
      <formula>LEN(TRIM(A1))=0</formula>
    </cfRule>
  </conditionalFormatting>
  <conditionalFormatting sqref="A1:N1000 T1:AZ1000">
    <cfRule type="expression" dxfId="48" priority="224" stopIfTrue="1">
      <formula>LEN(TRIM(A1))=0</formula>
    </cfRule>
  </conditionalFormatting>
  <conditionalFormatting sqref="A1:N1000 T1:AZ1000">
    <cfRule type="expression" dxfId="47" priority="218" stopIfTrue="1">
      <formula>LEN(TRIM(A1))=0</formula>
    </cfRule>
  </conditionalFormatting>
  <conditionalFormatting sqref="A1:N1000 T1:AZ1000">
    <cfRule type="expression" dxfId="46" priority="212" stopIfTrue="1">
      <formula>LEN(TRIM(A1))=0</formula>
    </cfRule>
  </conditionalFormatting>
  <conditionalFormatting sqref="A1:N1000 T1:AZ1000">
    <cfRule type="expression" dxfId="45" priority="206" stopIfTrue="1">
      <formula>LEN(TRIM(A1))=0</formula>
    </cfRule>
  </conditionalFormatting>
  <conditionalFormatting sqref="A1:N1000 T1:AZ1000">
    <cfRule type="expression" dxfId="44" priority="200" stopIfTrue="1">
      <formula>LEN(TRIM(A1))=0</formula>
    </cfRule>
  </conditionalFormatting>
  <conditionalFormatting sqref="A1:N1000 T1:AZ1000">
    <cfRule type="expression" dxfId="43" priority="194" stopIfTrue="1">
      <formula>LEN(TRIM(A1))=0</formula>
    </cfRule>
  </conditionalFormatting>
  <conditionalFormatting sqref="A1:N1000 T1:AZ1000">
    <cfRule type="expression" dxfId="42" priority="188" stopIfTrue="1">
      <formula>LEN(TRIM(A1))=0</formula>
    </cfRule>
  </conditionalFormatting>
  <conditionalFormatting sqref="A1:N1000 T1:AZ1000">
    <cfRule type="expression" dxfId="41" priority="182" stopIfTrue="1">
      <formula>LEN(TRIM(A1))=0</formula>
    </cfRule>
  </conditionalFormatting>
  <conditionalFormatting sqref="A1:N1000 T1:AZ1000">
    <cfRule type="expression" dxfId="40" priority="176" stopIfTrue="1">
      <formula>LEN(TRIM(A1))=0</formula>
    </cfRule>
  </conditionalFormatting>
  <conditionalFormatting sqref="A1:N1000 T1:AZ1000">
    <cfRule type="expression" dxfId="39" priority="170" stopIfTrue="1">
      <formula>LEN(TRIM(A1))=0</formula>
    </cfRule>
  </conditionalFormatting>
  <conditionalFormatting sqref="A1:N1000 T1:AZ1000">
    <cfRule type="expression" dxfId="38" priority="164" stopIfTrue="1">
      <formula>LEN(TRIM(A1))=0</formula>
    </cfRule>
  </conditionalFormatting>
  <conditionalFormatting sqref="A1:N1000 T1:AZ1000">
    <cfRule type="expression" dxfId="37" priority="158" stopIfTrue="1">
      <formula>LEN(TRIM(A1))=0</formula>
    </cfRule>
  </conditionalFormatting>
  <conditionalFormatting sqref="A1:N1000 T1:AZ1000">
    <cfRule type="expression" dxfId="36" priority="152" stopIfTrue="1">
      <formula>LEN(TRIM(A1))=0</formula>
    </cfRule>
  </conditionalFormatting>
  <conditionalFormatting sqref="A1:N1000 T1:AZ1000">
    <cfRule type="expression" dxfId="35" priority="146" stopIfTrue="1">
      <formula>LEN(TRIM(A1))=0</formula>
    </cfRule>
  </conditionalFormatting>
  <conditionalFormatting sqref="A1:N1000 T1:AZ1000">
    <cfRule type="expression" dxfId="34" priority="140" stopIfTrue="1">
      <formula>LEN(TRIM(A1))=0</formula>
    </cfRule>
  </conditionalFormatting>
  <conditionalFormatting sqref="A1:N1000 T1:AZ1000">
    <cfRule type="expression" dxfId="33" priority="134" stopIfTrue="1">
      <formula>LEN(TRIM(A1))=0</formula>
    </cfRule>
  </conditionalFormatting>
  <conditionalFormatting sqref="A1:N1000 T1:AZ1000">
    <cfRule type="expression" dxfId="32" priority="128" stopIfTrue="1">
      <formula>LEN(TRIM(A1))=0</formula>
    </cfRule>
  </conditionalFormatting>
  <conditionalFormatting sqref="A1:N1000 T1:AZ1000">
    <cfRule type="expression" dxfId="31" priority="122" stopIfTrue="1">
      <formula>LEN(TRIM(A1))=0</formula>
    </cfRule>
  </conditionalFormatting>
  <conditionalFormatting sqref="A1:N1000 T1:AZ1000">
    <cfRule type="expression" dxfId="30" priority="116" stopIfTrue="1">
      <formula>LEN(TRIM(A1))=0</formula>
    </cfRule>
  </conditionalFormatting>
  <conditionalFormatting sqref="A1:N1000 T1:AZ1000">
    <cfRule type="expression" dxfId="29" priority="110" stopIfTrue="1">
      <formula>LEN(TRIM(A1))=0</formula>
    </cfRule>
  </conditionalFormatting>
  <conditionalFormatting sqref="A1:N1000 T1:AZ1000">
    <cfRule type="expression" dxfId="28" priority="104" stopIfTrue="1">
      <formula>LEN(TRIM(A1))=0</formula>
    </cfRule>
  </conditionalFormatting>
  <conditionalFormatting sqref="A1:N1000 T1:AZ1000">
    <cfRule type="expression" dxfId="27" priority="98" stopIfTrue="1">
      <formula>LEN(TRIM(A1))=0</formula>
    </cfRule>
  </conditionalFormatting>
  <conditionalFormatting sqref="A1:N1000 T1:AZ1000">
    <cfRule type="expression" dxfId="26" priority="92" stopIfTrue="1">
      <formula>LEN(TRIM(A1))=0</formula>
    </cfRule>
  </conditionalFormatting>
  <conditionalFormatting sqref="A1:N1000 T1:AZ1000">
    <cfRule type="expression" dxfId="25" priority="86" stopIfTrue="1">
      <formula>LEN(TRIM(A1))=0</formula>
    </cfRule>
  </conditionalFormatting>
  <conditionalFormatting sqref="A1:N1000 T1:AZ1000">
    <cfRule type="expression" dxfId="24" priority="80" stopIfTrue="1">
      <formula>LEN(TRIM(A1))=0</formula>
    </cfRule>
  </conditionalFormatting>
  <conditionalFormatting sqref="A1:N1000 T1:AZ1000">
    <cfRule type="expression" dxfId="23" priority="74" stopIfTrue="1">
      <formula>LEN(TRIM(A1))=0</formula>
    </cfRule>
  </conditionalFormatting>
  <conditionalFormatting sqref="A1:N1000 T1:AZ1000">
    <cfRule type="expression" dxfId="22" priority="68" stopIfTrue="1">
      <formula>LEN(TRIM(A1))=0</formula>
    </cfRule>
  </conditionalFormatting>
  <conditionalFormatting sqref="A1:N1000 T1:AZ1000">
    <cfRule type="expression" dxfId="21" priority="62" stopIfTrue="1">
      <formula>LEN(TRIM(A1))=0</formula>
    </cfRule>
  </conditionalFormatting>
  <conditionalFormatting sqref="A1:N1000 T1:AZ1000">
    <cfRule type="expression" dxfId="20" priority="56" stopIfTrue="1">
      <formula>LEN(TRIM(A1))=0</formula>
    </cfRule>
  </conditionalFormatting>
  <conditionalFormatting sqref="A1:N1000 T1:AZ1000">
    <cfRule type="expression" dxfId="19" priority="50" stopIfTrue="1">
      <formula>LEN(TRIM(A1))=0</formula>
    </cfRule>
  </conditionalFormatting>
  <conditionalFormatting sqref="A1:N1000 T1:AZ1000">
    <cfRule type="expression" dxfId="18" priority="44" stopIfTrue="1">
      <formula>LEN(TRIM(A1))=0</formula>
    </cfRule>
  </conditionalFormatting>
  <conditionalFormatting sqref="A1:N1000 T1:AZ1000">
    <cfRule type="expression" dxfId="17" priority="38" stopIfTrue="1">
      <formula>LEN(TRIM(A1))=0</formula>
    </cfRule>
  </conditionalFormatting>
  <conditionalFormatting sqref="A1:N1000 T1:AZ1000">
    <cfRule type="expression" dxfId="16" priority="32" stopIfTrue="1">
      <formula>LEN(TRIM(A1))=0</formula>
    </cfRule>
  </conditionalFormatting>
  <conditionalFormatting sqref="A1:N1000 T1:AZ1000">
    <cfRule type="expression" dxfId="15" priority="26" stopIfTrue="1">
      <formula>LEN(TRIM(A1))=0</formula>
    </cfRule>
  </conditionalFormatting>
  <conditionalFormatting sqref="A1:N1000 T1:AZ1000">
    <cfRule type="expression" dxfId="14" priority="20" stopIfTrue="1">
      <formula>LEN(TRIM(A1))=0</formula>
    </cfRule>
  </conditionalFormatting>
  <conditionalFormatting sqref="A1:N1000 T1:AZ1000">
    <cfRule type="expression" dxfId="13" priority="14" stopIfTrue="1">
      <formula>LEN(TRIM(A1))=0</formula>
    </cfRule>
  </conditionalFormatting>
  <conditionalFormatting sqref="A1:N1000 T1:AZ1000">
    <cfRule type="expression" dxfId="12" priority="8" stopIfTrue="1">
      <formula>LEN(TRIM(A1))=0</formula>
    </cfRule>
  </conditionalFormatting>
  <conditionalFormatting sqref="O1:O1048576">
    <cfRule type="cellIs" dxfId="11" priority="7" stopIfTrue="1" operator="greaterThan">
      <formula>80</formula>
    </cfRule>
  </conditionalFormatting>
  <conditionalFormatting sqref="P1:P1048576">
    <cfRule type="cellIs" dxfId="10" priority="6" stopIfTrue="1" operator="lessThan">
      <formula>55</formula>
    </cfRule>
  </conditionalFormatting>
  <conditionalFormatting sqref="Q1:Q1048576">
    <cfRule type="cellIs" dxfId="9" priority="5" stopIfTrue="1" operator="lessThanOrEqual">
      <formula>1000000</formula>
    </cfRule>
  </conditionalFormatting>
  <conditionalFormatting sqref="R1:R1048576">
    <cfRule type="cellIs" dxfId="8" priority="4" stopIfTrue="1" operator="lessThan">
      <formula>120</formula>
    </cfRule>
  </conditionalFormatting>
  <conditionalFormatting sqref="S1:S1048576">
    <cfRule type="cellIs" dxfId="7" priority="3" stopIfTrue="1" operator="lessThan">
      <formula>1</formula>
    </cfRule>
  </conditionalFormatting>
  <conditionalFormatting sqref="A1:AZ1000">
    <cfRule type="expression" dxfId="6" priority="2" stopIfTrue="1">
      <formula>LEN(TRIM(A1))=0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EE9C-6018-1941-B6A4-04F15E46981D}">
  <sheetPr codeName="Sheet3"/>
  <dimension ref="A1:R38"/>
  <sheetViews>
    <sheetView topLeftCell="I1" workbookViewId="0">
      <selection activeCell="R2" sqref="R2"/>
    </sheetView>
  </sheetViews>
  <sheetFormatPr defaultColWidth="11.5546875" defaultRowHeight="13.2" x14ac:dyDescent="0.25"/>
  <cols>
    <col min="1" max="1" width="35.109375" customWidth="1"/>
    <col min="2" max="3" width="55.77734375" customWidth="1"/>
    <col min="4" max="4" width="20.77734375" customWidth="1"/>
    <col min="6" max="7" width="2.77734375" customWidth="1"/>
    <col min="10" max="10" width="33" customWidth="1"/>
    <col min="15" max="16" width="2.77734375" customWidth="1"/>
  </cols>
  <sheetData>
    <row r="1" spans="1:18" x14ac:dyDescent="0.25">
      <c r="A1" s="4" t="s">
        <v>49</v>
      </c>
      <c r="B1" s="4" t="s">
        <v>50</v>
      </c>
      <c r="C1" s="4" t="s">
        <v>72</v>
      </c>
      <c r="D1" s="4" t="s">
        <v>73</v>
      </c>
      <c r="E1" s="4" t="s">
        <v>74</v>
      </c>
      <c r="F1" s="7"/>
      <c r="G1" s="7"/>
      <c r="J1" s="4" t="s">
        <v>68</v>
      </c>
      <c r="K1" s="4" t="s">
        <v>69</v>
      </c>
      <c r="O1" s="7"/>
      <c r="P1" s="7"/>
      <c r="R1" s="4" t="s">
        <v>71</v>
      </c>
    </row>
    <row r="2" spans="1:18" x14ac:dyDescent="0.25">
      <c r="A2" s="3" t="s">
        <v>39</v>
      </c>
      <c r="B2" s="4" t="s">
        <v>70</v>
      </c>
      <c r="C2" s="4">
        <v>80</v>
      </c>
      <c r="D2" s="4" t="s">
        <v>76</v>
      </c>
      <c r="E2" s="8"/>
      <c r="F2">
        <v>5</v>
      </c>
      <c r="G2" s="7"/>
      <c r="J2" s="2" t="s">
        <v>0</v>
      </c>
      <c r="K2" s="4" t="s">
        <v>52</v>
      </c>
      <c r="O2" s="7"/>
      <c r="P2" s="7"/>
      <c r="R2" t="s">
        <v>39</v>
      </c>
    </row>
    <row r="3" spans="1:18" x14ac:dyDescent="0.25">
      <c r="A3" s="3" t="s">
        <v>40</v>
      </c>
      <c r="B3" t="s">
        <v>66</v>
      </c>
      <c r="C3">
        <v>55</v>
      </c>
      <c r="D3" s="4" t="s">
        <v>77</v>
      </c>
      <c r="E3" s="9"/>
      <c r="F3">
        <v>6</v>
      </c>
      <c r="G3" s="7"/>
      <c r="J3" s="2" t="s">
        <v>1</v>
      </c>
      <c r="K3" t="s">
        <v>53</v>
      </c>
      <c r="O3" s="7"/>
      <c r="P3" s="7"/>
      <c r="R3" t="s">
        <v>40</v>
      </c>
    </row>
    <row r="4" spans="1:18" x14ac:dyDescent="0.25">
      <c r="A4" s="3" t="s">
        <v>41</v>
      </c>
      <c r="B4" s="4" t="s">
        <v>67</v>
      </c>
      <c r="C4" s="4">
        <v>1000000</v>
      </c>
      <c r="D4" s="4" t="s">
        <v>78</v>
      </c>
      <c r="E4" s="10"/>
      <c r="F4">
        <v>8</v>
      </c>
      <c r="G4" s="7"/>
      <c r="J4" s="2" t="s">
        <v>2</v>
      </c>
      <c r="K4" t="s">
        <v>54</v>
      </c>
      <c r="O4" s="7"/>
      <c r="P4" s="7"/>
      <c r="R4" t="s">
        <v>41</v>
      </c>
    </row>
    <row r="5" spans="1:18" x14ac:dyDescent="0.25">
      <c r="A5" s="3" t="s">
        <v>47</v>
      </c>
      <c r="B5" s="4" t="s">
        <v>51</v>
      </c>
      <c r="C5" s="4">
        <v>120</v>
      </c>
      <c r="D5" s="4" t="s">
        <v>76</v>
      </c>
      <c r="E5" s="11"/>
      <c r="F5">
        <v>6</v>
      </c>
      <c r="G5" s="7"/>
      <c r="J5" s="2" t="s">
        <v>3</v>
      </c>
      <c r="K5" t="s">
        <v>55</v>
      </c>
      <c r="O5" s="7"/>
      <c r="P5" s="7"/>
      <c r="R5" t="s">
        <v>47</v>
      </c>
    </row>
    <row r="6" spans="1:18" x14ac:dyDescent="0.25">
      <c r="A6" s="3" t="s">
        <v>48</v>
      </c>
      <c r="B6" t="s">
        <v>66</v>
      </c>
      <c r="C6">
        <v>1</v>
      </c>
      <c r="D6" s="4" t="s">
        <v>77</v>
      </c>
      <c r="E6" s="12"/>
      <c r="F6">
        <v>6</v>
      </c>
      <c r="G6" s="7"/>
      <c r="J6" s="2" t="s">
        <v>4</v>
      </c>
      <c r="K6" t="s">
        <v>56</v>
      </c>
      <c r="O6" s="7"/>
      <c r="P6" s="7"/>
      <c r="R6" t="s">
        <v>48</v>
      </c>
    </row>
    <row r="7" spans="1:18" x14ac:dyDescent="0.25">
      <c r="F7" s="7"/>
      <c r="G7" s="7"/>
      <c r="J7" s="2" t="s">
        <v>5</v>
      </c>
      <c r="K7" t="s">
        <v>57</v>
      </c>
      <c r="O7" s="7"/>
      <c r="P7" s="7"/>
    </row>
    <row r="8" spans="1:18" x14ac:dyDescent="0.25">
      <c r="F8" s="7"/>
      <c r="G8" s="7"/>
      <c r="J8" s="2" t="s">
        <v>6</v>
      </c>
      <c r="K8" t="s">
        <v>58</v>
      </c>
      <c r="O8" s="7"/>
      <c r="P8" s="7"/>
    </row>
    <row r="9" spans="1:18" ht="12" customHeight="1" x14ac:dyDescent="0.25">
      <c r="F9" s="7"/>
      <c r="G9" s="7"/>
      <c r="J9" s="2" t="s">
        <v>7</v>
      </c>
      <c r="K9" t="s">
        <v>59</v>
      </c>
      <c r="O9" s="7"/>
      <c r="P9" s="7"/>
    </row>
    <row r="10" spans="1:18" x14ac:dyDescent="0.25">
      <c r="F10" s="7"/>
      <c r="G10" s="7"/>
      <c r="J10" s="2" t="s">
        <v>8</v>
      </c>
      <c r="K10" t="s">
        <v>60</v>
      </c>
      <c r="O10" s="7"/>
      <c r="P10" s="7"/>
    </row>
    <row r="11" spans="1:18" x14ac:dyDescent="0.25">
      <c r="F11" s="7"/>
      <c r="G11" s="7"/>
      <c r="J11" s="2" t="s">
        <v>9</v>
      </c>
      <c r="K11" t="s">
        <v>61</v>
      </c>
      <c r="O11" s="7"/>
      <c r="P11" s="7"/>
    </row>
    <row r="12" spans="1:18" x14ac:dyDescent="0.25">
      <c r="F12" s="7"/>
      <c r="G12" s="7"/>
      <c r="J12" s="2" t="s">
        <v>10</v>
      </c>
      <c r="K12" t="s">
        <v>62</v>
      </c>
      <c r="O12" s="7"/>
      <c r="P12" s="7"/>
    </row>
    <row r="13" spans="1:18" x14ac:dyDescent="0.25">
      <c r="F13" s="7"/>
      <c r="G13" s="7"/>
      <c r="J13" s="2" t="s">
        <v>11</v>
      </c>
      <c r="K13" t="s">
        <v>63</v>
      </c>
      <c r="O13" s="7"/>
      <c r="P13" s="7"/>
    </row>
    <row r="14" spans="1:18" x14ac:dyDescent="0.25">
      <c r="F14" s="7"/>
      <c r="G14" s="7"/>
      <c r="J14" s="3" t="s">
        <v>37</v>
      </c>
      <c r="K14" s="4" t="s">
        <v>65</v>
      </c>
      <c r="O14" s="7"/>
      <c r="P14" s="7"/>
    </row>
    <row r="15" spans="1:18" x14ac:dyDescent="0.25">
      <c r="F15" s="7"/>
      <c r="G15" s="7"/>
      <c r="J15" s="3" t="s">
        <v>38</v>
      </c>
      <c r="K15" t="s">
        <v>64</v>
      </c>
      <c r="O15" s="7"/>
      <c r="P15" s="7"/>
    </row>
    <row r="16" spans="1:18" x14ac:dyDescent="0.25">
      <c r="F16" s="7"/>
      <c r="G16" s="7"/>
      <c r="O16" s="7"/>
      <c r="P16" s="7"/>
    </row>
    <row r="17" spans="1:16" x14ac:dyDescent="0.25">
      <c r="F17" s="7"/>
      <c r="G17" s="7"/>
      <c r="O17" s="7"/>
      <c r="P17" s="7"/>
    </row>
    <row r="18" spans="1:16" x14ac:dyDescent="0.25">
      <c r="F18" s="7"/>
      <c r="G18" s="7"/>
      <c r="O18" s="7"/>
      <c r="P18" s="7"/>
    </row>
    <row r="19" spans="1:16" x14ac:dyDescent="0.25">
      <c r="F19" s="7"/>
      <c r="G19" s="7"/>
      <c r="O19" s="7"/>
      <c r="P19" s="7"/>
    </row>
    <row r="20" spans="1:16" x14ac:dyDescent="0.25">
      <c r="F20" s="7"/>
      <c r="G20" s="7"/>
      <c r="O20" s="7"/>
      <c r="P20" s="7"/>
    </row>
    <row r="21" spans="1:16" x14ac:dyDescent="0.25">
      <c r="A21" s="4"/>
      <c r="F21" s="7"/>
      <c r="G21" s="7"/>
      <c r="O21" s="7"/>
      <c r="P21" s="7"/>
    </row>
    <row r="22" spans="1:16" x14ac:dyDescent="0.25">
      <c r="F22" s="7"/>
      <c r="G22" s="7"/>
      <c r="O22" s="7"/>
      <c r="P22" s="7"/>
    </row>
    <row r="23" spans="1:16" x14ac:dyDescent="0.25">
      <c r="F23" s="7"/>
      <c r="G23" s="7"/>
      <c r="O23" s="7"/>
      <c r="P23" s="7"/>
    </row>
    <row r="24" spans="1:16" x14ac:dyDescent="0.25">
      <c r="O24" s="7"/>
      <c r="P24" s="7"/>
    </row>
    <row r="35" spans="1:4" x14ac:dyDescent="0.25">
      <c r="B35" s="4"/>
      <c r="C35" s="4"/>
      <c r="D35" s="4"/>
    </row>
    <row r="38" spans="1:4" x14ac:dyDescent="0.25">
      <c r="A38" s="4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0EC18-9F88-4699-A9CB-CBD384F2F90B}">
          <x14:formula1>
            <xm:f>backend!$A$1:$A$6</xm:f>
          </x14:formula1>
          <xm:sqref>D2:D6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9A88-FD3F-474B-8B08-6E965D9EF427}">
  <sheetPr codeName="Sheet5"/>
  <dimension ref="A1:A6"/>
  <sheetViews>
    <sheetView workbookViewId="0">
      <selection activeCell="D12" sqref="D12"/>
    </sheetView>
  </sheetViews>
  <sheetFormatPr defaultRowHeight="13.2" x14ac:dyDescent="0.25"/>
  <sheetData>
    <row r="1" spans="1:1" x14ac:dyDescent="0.25">
      <c r="A1" s="4" t="s">
        <v>75</v>
      </c>
    </row>
    <row r="2" spans="1:1" x14ac:dyDescent="0.25">
      <c r="A2" s="4" t="s">
        <v>76</v>
      </c>
    </row>
    <row r="3" spans="1:1" x14ac:dyDescent="0.25">
      <c r="A3" s="4" t="s">
        <v>77</v>
      </c>
    </row>
    <row r="4" spans="1:1" x14ac:dyDescent="0.25">
      <c r="A4" s="4" t="s">
        <v>78</v>
      </c>
    </row>
    <row r="5" spans="1:1" x14ac:dyDescent="0.25">
      <c r="A5" s="4" t="s">
        <v>79</v>
      </c>
    </row>
    <row r="6" spans="1:1" x14ac:dyDescent="0.25">
      <c r="A6" s="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29A-826C-EA46-837E-845DA062B753}">
  <sheetPr codeName="Sheet4"/>
  <dimension ref="A1:A28"/>
  <sheetViews>
    <sheetView workbookViewId="0">
      <selection activeCell="E20" sqref="E20"/>
    </sheetView>
  </sheetViews>
  <sheetFormatPr defaultColWidth="11.5546875" defaultRowHeight="13.2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7" spans="1:1" x14ac:dyDescent="0.25">
      <c r="A7" t="s">
        <v>31</v>
      </c>
    </row>
    <row r="8" spans="1:1" x14ac:dyDescent="0.25">
      <c r="A8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23" spans="1:1" x14ac:dyDescent="0.25">
      <c r="A23" s="4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s="4" t="s">
        <v>45</v>
      </c>
    </row>
    <row r="28" spans="1:1" x14ac:dyDescent="0.25">
      <c r="A2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 Data</vt:lpstr>
      <vt:lpstr>Sheet3</vt:lpstr>
      <vt:lpstr>Control Sheet</vt:lpstr>
      <vt:lpstr>backend</vt:lpstr>
      <vt:lpstr>Sheet1</vt:lpstr>
      <vt:lpstr>rng_kpiformula</vt:lpstr>
      <vt:lpstr>rng_mapping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Shubham Murkute</cp:lastModifiedBy>
  <dcterms:created xsi:type="dcterms:W3CDTF">2023-04-16T23:32:39Z</dcterms:created>
  <dcterms:modified xsi:type="dcterms:W3CDTF">2023-05-15T05:23:11Z</dcterms:modified>
</cp:coreProperties>
</file>